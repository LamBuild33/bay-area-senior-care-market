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a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Example row. Not counted in the totals.</t>
        </r>
      </text>
    </comment>
  </commentList>
</comments>
</file>

<file path=xl/sharedStrings.xml><?xml version="1.0" encoding="utf-8"?>
<sst xmlns="http://schemas.openxmlformats.org/spreadsheetml/2006/main" count="18" uniqueCount="18">
  <si>
    <t xml:space="preserve">Mileage Log - [Last Name] Home Support</t>
  </si>
  <si>
    <t xml:space="preserve">How to use: one row per drive. Type only in the yellow columns. The grey columns fill in by themselves.</t>
  </si>
  <si>
    <t xml:space="preserve">Type: pick 'For client (billed)' for a drive with the client or for the client (pharmacy, store). Pick 'My own drive (not billed)' for your drive to and from their home.</t>
  </si>
  <si>
    <t xml:space="preserve">Own-drive miles are not billed to clients. Ask your accountant whether they count for taxes. Row 9 is an example and is not counted.</t>
  </si>
  <si>
    <t xml:space="preserve">Rate per mile: 0.76 is the IRS standard rate for July to December 2026 (from the README). Change it for drives after December 31 once the new rate is published.</t>
  </si>
  <si>
    <t xml:space="preserve">Billed miles (for clients):</t>
  </si>
  <si>
    <t xml:space="preserve">Amount to bill for mileage:</t>
  </si>
  <si>
    <t xml:space="preserve">My own drive miles (not billed):</t>
  </si>
  <si>
    <t xml:space="preserve">Date</t>
  </si>
  <si>
    <t xml:space="preserve">Client</t>
  </si>
  <si>
    <t xml:space="preserve">Type</t>
  </si>
  <si>
    <t xml:space="preserve">Where and why</t>
  </si>
  <si>
    <t xml:space="preserve">Miles</t>
  </si>
  <si>
    <t xml:space="preserve">Rate per mile</t>
  </si>
  <si>
    <t xml:space="preserve">Amount to bill</t>
  </si>
  <si>
    <t xml:space="preserve">Example Client</t>
  </si>
  <si>
    <t xml:space="preserve">For client (billed)</t>
  </si>
  <si>
    <t xml:space="preserve">Pharmacy and grocery store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</si>
</sst>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\$#,##0.00;&quot;($&quot;#,##0.00\);\-"/>
    <numFmt numFmtId="167" formatCode="mmm\ d&quot;, &quot;yyyy"/>
    <numFmt numFmtId="168" formatCode="\$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3" t="s">
        <v>5</v>
      </c>
      <c r="D6" s="4" t="n">
        <f aca="false">SUMIF(C13:C62,"For client (billed)",E13:E62)</f>
        <v>0</v>
      </c>
    </row>
    <row r="7" customFormat="false" ht="15" hidden="false" customHeight="false" outlineLevel="0" collapsed="false">
      <c r="A7" s="3" t="s">
        <v>6</v>
      </c>
      <c r="D7" s="5" t="n">
        <f aca="false">SUM(G13:G62)</f>
        <v>0</v>
      </c>
    </row>
    <row r="8" customFormat="false" ht="15" hidden="false" customHeight="false" outlineLevel="0" collapsed="false">
      <c r="A8" s="3" t="s">
        <v>7</v>
      </c>
      <c r="D8" s="4" t="n">
        <f aca="false">SUMIF(C13:C62,"My own drive (not billed)",E13:E62)</f>
        <v>0</v>
      </c>
    </row>
    <row r="11" customFormat="false" ht="30" hidden="false" customHeight="true" outlineLevel="0" collapsed="false">
      <c r="A11" s="6" t="s">
        <v>8</v>
      </c>
      <c r="B11" s="6" t="s">
        <v>9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14</v>
      </c>
    </row>
    <row r="12" customFormat="false" ht="15" hidden="false" customHeight="false" outlineLevel="0" collapsed="false">
      <c r="A12" s="7" t="n">
        <v>46308</v>
      </c>
      <c r="B12" s="8" t="s">
        <v>15</v>
      </c>
      <c r="C12" s="8" t="s">
        <v>16</v>
      </c>
      <c r="D12" s="8" t="s">
        <v>17</v>
      </c>
      <c r="E12" s="9" t="n">
        <v>6.2</v>
      </c>
      <c r="F12" s="10" t="n">
        <v>0.76</v>
      </c>
      <c r="G12" s="11" t="n">
        <f aca="false">IF(OR(E12="",C12&lt;&gt;"For client (billed)"),"",ROUND(E12*F12,2))</f>
        <v>4.71</v>
      </c>
    </row>
    <row r="13" customFormat="false" ht="15" hidden="false" customHeight="false" outlineLevel="0" collapsed="false">
      <c r="A13" s="12"/>
      <c r="B13" s="13"/>
      <c r="C13" s="13"/>
      <c r="D13" s="13"/>
      <c r="E13" s="14"/>
      <c r="F13" s="15" t="n">
        <v>0.76</v>
      </c>
      <c r="G13" s="16" t="str">
        <f aca="false">IF(OR(E13="",C13&lt;&gt;"For client (billed)"),"",ROUND(E13*F13,2))</f>
        <v/>
      </c>
    </row>
    <row r="14" customFormat="false" ht="15" hidden="false" customHeight="false" outlineLevel="0" collapsed="false">
      <c r="A14" s="12"/>
      <c r="B14" s="13"/>
      <c r="C14" s="13"/>
      <c r="D14" s="13"/>
      <c r="E14" s="14"/>
      <c r="F14" s="15" t="n">
        <v>0.76</v>
      </c>
      <c r="G14" s="16" t="str">
        <f aca="false">IF(OR(E14="",C14&lt;&gt;"For client (billed)"),"",ROUND(E14*F14,2))</f>
        <v/>
      </c>
    </row>
    <row r="15" customFormat="false" ht="15" hidden="false" customHeight="false" outlineLevel="0" collapsed="false">
      <c r="A15" s="12"/>
      <c r="B15" s="13"/>
      <c r="C15" s="13"/>
      <c r="D15" s="13"/>
      <c r="E15" s="14"/>
      <c r="F15" s="15" t="n">
        <v>0.76</v>
      </c>
      <c r="G15" s="16" t="str">
        <f aca="false">IF(OR(E15="",C15&lt;&gt;"For client (billed)"),"",ROUND(E15*F15,2))</f>
        <v/>
      </c>
    </row>
    <row r="16" customFormat="false" ht="15" hidden="false" customHeight="false" outlineLevel="0" collapsed="false">
      <c r="A16" s="12"/>
      <c r="B16" s="13"/>
      <c r="C16" s="13"/>
      <c r="D16" s="13"/>
      <c r="E16" s="14"/>
      <c r="F16" s="15" t="n">
        <v>0.76</v>
      </c>
      <c r="G16" s="16" t="str">
        <f aca="false">IF(OR(E16="",C16&lt;&gt;"For client (billed)"),"",ROUND(E16*F16,2))</f>
        <v/>
      </c>
    </row>
    <row r="17" customFormat="false" ht="15" hidden="false" customHeight="false" outlineLevel="0" collapsed="false">
      <c r="A17" s="12"/>
      <c r="B17" s="13"/>
      <c r="C17" s="13"/>
      <c r="D17" s="13"/>
      <c r="E17" s="14"/>
      <c r="F17" s="15" t="n">
        <v>0.76</v>
      </c>
      <c r="G17" s="16" t="str">
        <f aca="false">IF(OR(E17="",C17&lt;&gt;"For client (billed)"),"",ROUND(E17*F17,2))</f>
        <v/>
      </c>
    </row>
    <row r="18" customFormat="false" ht="15" hidden="false" customHeight="false" outlineLevel="0" collapsed="false">
      <c r="A18" s="12"/>
      <c r="B18" s="13"/>
      <c r="C18" s="13"/>
      <c r="D18" s="13"/>
      <c r="E18" s="14"/>
      <c r="F18" s="15" t="n">
        <v>0.76</v>
      </c>
      <c r="G18" s="16" t="str">
        <f aca="false">IF(OR(E18="",C18&lt;&gt;"For client (billed)"),"",ROUND(E18*F18,2))</f>
        <v/>
      </c>
    </row>
    <row r="19" customFormat="false" ht="15" hidden="false" customHeight="false" outlineLevel="0" collapsed="false">
      <c r="A19" s="12"/>
      <c r="B19" s="13"/>
      <c r="C19" s="13"/>
      <c r="D19" s="13"/>
      <c r="E19" s="14"/>
      <c r="F19" s="15" t="n">
        <v>0.76</v>
      </c>
      <c r="G19" s="16" t="str">
        <f aca="false">IF(OR(E19="",C19&lt;&gt;"For client (billed)"),"",ROUND(E19*F19,2))</f>
        <v/>
      </c>
    </row>
    <row r="20" customFormat="false" ht="15" hidden="false" customHeight="false" outlineLevel="0" collapsed="false">
      <c r="A20" s="12"/>
      <c r="B20" s="13"/>
      <c r="C20" s="13"/>
      <c r="D20" s="13"/>
      <c r="E20" s="14"/>
      <c r="F20" s="15" t="n">
        <v>0.76</v>
      </c>
      <c r="G20" s="16" t="str">
        <f aca="false">IF(OR(E20="",C20&lt;&gt;"For client (billed)"),"",ROUND(E20*F20,2))</f>
        <v/>
      </c>
    </row>
    <row r="21" customFormat="false" ht="15" hidden="false" customHeight="false" outlineLevel="0" collapsed="false">
      <c r="A21" s="12"/>
      <c r="B21" s="13"/>
      <c r="C21" s="13"/>
      <c r="D21" s="13"/>
      <c r="E21" s="14"/>
      <c r="F21" s="15" t="n">
        <v>0.76</v>
      </c>
      <c r="G21" s="16" t="str">
        <f aca="false">IF(OR(E21="",C21&lt;&gt;"For client (billed)"),"",ROUND(E21*F21,2))</f>
        <v/>
      </c>
    </row>
    <row r="22" customFormat="false" ht="15" hidden="false" customHeight="false" outlineLevel="0" collapsed="false">
      <c r="A22" s="12"/>
      <c r="B22" s="13"/>
      <c r="C22" s="13"/>
      <c r="D22" s="13"/>
      <c r="E22" s="14"/>
      <c r="F22" s="15" t="n">
        <v>0.76</v>
      </c>
      <c r="G22" s="16" t="str">
        <f aca="false">IF(OR(E22="",C22&lt;&gt;"For client (billed)"),"",ROUND(E22*F22,2))</f>
        <v/>
      </c>
    </row>
    <row r="23" customFormat="false" ht="15" hidden="false" customHeight="false" outlineLevel="0" collapsed="false">
      <c r="A23" s="12"/>
      <c r="B23" s="13"/>
      <c r="C23" s="13"/>
      <c r="D23" s="13"/>
      <c r="E23" s="14"/>
      <c r="F23" s="15" t="n">
        <v>0.76</v>
      </c>
      <c r="G23" s="16" t="str">
        <f aca="false">IF(OR(E23="",C23&lt;&gt;"For client (billed)"),"",ROUND(E23*F23,2))</f>
        <v/>
      </c>
    </row>
    <row r="24" customFormat="false" ht="15" hidden="false" customHeight="false" outlineLevel="0" collapsed="false">
      <c r="A24" s="12"/>
      <c r="B24" s="13"/>
      <c r="C24" s="13"/>
      <c r="D24" s="13"/>
      <c r="E24" s="14"/>
      <c r="F24" s="15" t="n">
        <v>0.76</v>
      </c>
      <c r="G24" s="16" t="str">
        <f aca="false">IF(OR(E24="",C24&lt;&gt;"For client (billed)"),"",ROUND(E24*F24,2))</f>
        <v/>
      </c>
    </row>
    <row r="25" customFormat="false" ht="15" hidden="false" customHeight="false" outlineLevel="0" collapsed="false">
      <c r="A25" s="12"/>
      <c r="B25" s="13"/>
      <c r="C25" s="13"/>
      <c r="D25" s="13"/>
      <c r="E25" s="14"/>
      <c r="F25" s="15" t="n">
        <v>0.76</v>
      </c>
      <c r="G25" s="16" t="str">
        <f aca="false">IF(OR(E25="",C25&lt;&gt;"For client (billed)"),"",ROUND(E25*F25,2))</f>
        <v/>
      </c>
    </row>
    <row r="26" customFormat="false" ht="15" hidden="false" customHeight="false" outlineLevel="0" collapsed="false">
      <c r="A26" s="12"/>
      <c r="B26" s="13"/>
      <c r="C26" s="13"/>
      <c r="D26" s="13"/>
      <c r="E26" s="14"/>
      <c r="F26" s="15" t="n">
        <v>0.76</v>
      </c>
      <c r="G26" s="16" t="str">
        <f aca="false">IF(OR(E26="",C26&lt;&gt;"For client (billed)"),"",ROUND(E26*F26,2))</f>
        <v/>
      </c>
    </row>
    <row r="27" customFormat="false" ht="15" hidden="false" customHeight="false" outlineLevel="0" collapsed="false">
      <c r="A27" s="12"/>
      <c r="B27" s="13"/>
      <c r="C27" s="13"/>
      <c r="D27" s="13"/>
      <c r="E27" s="14"/>
      <c r="F27" s="15" t="n">
        <v>0.76</v>
      </c>
      <c r="G27" s="16" t="str">
        <f aca="false">IF(OR(E27="",C27&lt;&gt;"For client (billed)"),"",ROUND(E27*F27,2))</f>
        <v/>
      </c>
    </row>
    <row r="28" customFormat="false" ht="15" hidden="false" customHeight="false" outlineLevel="0" collapsed="false">
      <c r="A28" s="12"/>
      <c r="B28" s="13"/>
      <c r="C28" s="13"/>
      <c r="D28" s="13"/>
      <c r="E28" s="14"/>
      <c r="F28" s="15" t="n">
        <v>0.76</v>
      </c>
      <c r="G28" s="16" t="str">
        <f aca="false">IF(OR(E28="",C28&lt;&gt;"For client (billed)"),"",ROUND(E28*F28,2))</f>
        <v/>
      </c>
    </row>
    <row r="29" customFormat="false" ht="15" hidden="false" customHeight="false" outlineLevel="0" collapsed="false">
      <c r="A29" s="12"/>
      <c r="B29" s="13"/>
      <c r="C29" s="13"/>
      <c r="D29" s="13"/>
      <c r="E29" s="14"/>
      <c r="F29" s="15" t="n">
        <v>0.76</v>
      </c>
      <c r="G29" s="16" t="str">
        <f aca="false">IF(OR(E29="",C29&lt;&gt;"For client (billed)"),"",ROUND(E29*F29,2))</f>
        <v/>
      </c>
    </row>
    <row r="30" customFormat="false" ht="15" hidden="false" customHeight="false" outlineLevel="0" collapsed="false">
      <c r="A30" s="12"/>
      <c r="B30" s="13"/>
      <c r="C30" s="13"/>
      <c r="D30" s="13"/>
      <c r="E30" s="14"/>
      <c r="F30" s="15" t="n">
        <v>0.76</v>
      </c>
      <c r="G30" s="16" t="str">
        <f aca="false">IF(OR(E30="",C30&lt;&gt;"For client (billed)"),"",ROUND(E30*F30,2))</f>
        <v/>
      </c>
    </row>
    <row r="31" customFormat="false" ht="15" hidden="false" customHeight="false" outlineLevel="0" collapsed="false">
      <c r="A31" s="12"/>
      <c r="B31" s="13"/>
      <c r="C31" s="13"/>
      <c r="D31" s="13"/>
      <c r="E31" s="14"/>
      <c r="F31" s="15" t="n">
        <v>0.76</v>
      </c>
      <c r="G31" s="16" t="str">
        <f aca="false">IF(OR(E31="",C31&lt;&gt;"For client (billed)"),"",ROUND(E31*F31,2))</f>
        <v/>
      </c>
    </row>
    <row r="32" customFormat="false" ht="15" hidden="false" customHeight="false" outlineLevel="0" collapsed="false">
      <c r="A32" s="12"/>
      <c r="B32" s="13"/>
      <c r="C32" s="13"/>
      <c r="D32" s="13"/>
      <c r="E32" s="14"/>
      <c r="F32" s="15" t="n">
        <v>0.76</v>
      </c>
      <c r="G32" s="16" t="str">
        <f aca="false">IF(OR(E32="",C32&lt;&gt;"For client (billed)"),"",ROUND(E32*F32,2))</f>
        <v/>
      </c>
    </row>
    <row r="33" customFormat="false" ht="15" hidden="false" customHeight="false" outlineLevel="0" collapsed="false">
      <c r="A33" s="12"/>
      <c r="B33" s="13"/>
      <c r="C33" s="13"/>
      <c r="D33" s="13"/>
      <c r="E33" s="14"/>
      <c r="F33" s="15" t="n">
        <v>0.76</v>
      </c>
      <c r="G33" s="16" t="str">
        <f aca="false">IF(OR(E33="",C33&lt;&gt;"For client (billed)"),"",ROUND(E33*F33,2))</f>
        <v/>
      </c>
    </row>
    <row r="34" customFormat="false" ht="15" hidden="false" customHeight="false" outlineLevel="0" collapsed="false">
      <c r="A34" s="12"/>
      <c r="B34" s="13"/>
      <c r="C34" s="13"/>
      <c r="D34" s="13"/>
      <c r="E34" s="14"/>
      <c r="F34" s="15" t="n">
        <v>0.76</v>
      </c>
      <c r="G34" s="16" t="str">
        <f aca="false">IF(OR(E34="",C34&lt;&gt;"For client (billed)"),"",ROUND(E34*F34,2))</f>
        <v/>
      </c>
    </row>
    <row r="35" customFormat="false" ht="15" hidden="false" customHeight="false" outlineLevel="0" collapsed="false">
      <c r="A35" s="12"/>
      <c r="B35" s="13"/>
      <c r="C35" s="13"/>
      <c r="D35" s="13"/>
      <c r="E35" s="14"/>
      <c r="F35" s="15" t="n">
        <v>0.76</v>
      </c>
      <c r="G35" s="16" t="str">
        <f aca="false">IF(OR(E35="",C35&lt;&gt;"For client (billed)"),"",ROUND(E35*F35,2))</f>
        <v/>
      </c>
    </row>
    <row r="36" customFormat="false" ht="15" hidden="false" customHeight="false" outlineLevel="0" collapsed="false">
      <c r="A36" s="12"/>
      <c r="B36" s="13"/>
      <c r="C36" s="13"/>
      <c r="D36" s="13"/>
      <c r="E36" s="14"/>
      <c r="F36" s="15" t="n">
        <v>0.76</v>
      </c>
      <c r="G36" s="16" t="str">
        <f aca="false">IF(OR(E36="",C36&lt;&gt;"For client (billed)"),"",ROUND(E36*F36,2))</f>
        <v/>
      </c>
    </row>
    <row r="37" customFormat="false" ht="15" hidden="false" customHeight="false" outlineLevel="0" collapsed="false">
      <c r="A37" s="12"/>
      <c r="B37" s="13"/>
      <c r="C37" s="13"/>
      <c r="D37" s="13"/>
      <c r="E37" s="14"/>
      <c r="F37" s="15" t="n">
        <v>0.76</v>
      </c>
      <c r="G37" s="16" t="str">
        <f aca="false">IF(OR(E37="",C37&lt;&gt;"For client (billed)"),"",ROUND(E37*F37,2))</f>
        <v/>
      </c>
    </row>
    <row r="38" customFormat="false" ht="15" hidden="false" customHeight="false" outlineLevel="0" collapsed="false">
      <c r="A38" s="12"/>
      <c r="B38" s="13"/>
      <c r="C38" s="13"/>
      <c r="D38" s="13"/>
      <c r="E38" s="14"/>
      <c r="F38" s="15" t="n">
        <v>0.76</v>
      </c>
      <c r="G38" s="16" t="str">
        <f aca="false">IF(OR(E38="",C38&lt;&gt;"For client (billed)"),"",ROUND(E38*F38,2))</f>
        <v/>
      </c>
    </row>
    <row r="39" customFormat="false" ht="15" hidden="false" customHeight="false" outlineLevel="0" collapsed="false">
      <c r="A39" s="12"/>
      <c r="B39" s="13"/>
      <c r="C39" s="13"/>
      <c r="D39" s="13"/>
      <c r="E39" s="14"/>
      <c r="F39" s="15" t="n">
        <v>0.76</v>
      </c>
      <c r="G39" s="16" t="str">
        <f aca="false">IF(OR(E39="",C39&lt;&gt;"For client (billed)"),"",ROUND(E39*F39,2))</f>
        <v/>
      </c>
    </row>
    <row r="40" customFormat="false" ht="15" hidden="false" customHeight="false" outlineLevel="0" collapsed="false">
      <c r="A40" s="12"/>
      <c r="B40" s="13"/>
      <c r="C40" s="13"/>
      <c r="D40" s="13"/>
      <c r="E40" s="14"/>
      <c r="F40" s="15" t="n">
        <v>0.76</v>
      </c>
      <c r="G40" s="16" t="str">
        <f aca="false">IF(OR(E40="",C40&lt;&gt;"For client (billed)"),"",ROUND(E40*F40,2))</f>
        <v/>
      </c>
    </row>
    <row r="41" customFormat="false" ht="15" hidden="false" customHeight="false" outlineLevel="0" collapsed="false">
      <c r="A41" s="12"/>
      <c r="B41" s="13"/>
      <c r="C41" s="13"/>
      <c r="D41" s="13"/>
      <c r="E41" s="14"/>
      <c r="F41" s="15" t="n">
        <v>0.76</v>
      </c>
      <c r="G41" s="16" t="str">
        <f aca="false">IF(OR(E41="",C41&lt;&gt;"For client (billed)"),"",ROUND(E41*F41,2))</f>
        <v/>
      </c>
    </row>
    <row r="42" customFormat="false" ht="15" hidden="false" customHeight="false" outlineLevel="0" collapsed="false">
      <c r="A42" s="12"/>
      <c r="B42" s="13"/>
      <c r="C42" s="13"/>
      <c r="D42" s="13"/>
      <c r="E42" s="14"/>
      <c r="F42" s="15" t="n">
        <v>0.76</v>
      </c>
      <c r="G42" s="16" t="str">
        <f aca="false">IF(OR(E42="",C42&lt;&gt;"For client (billed)"),"",ROUND(E42*F42,2))</f>
        <v/>
      </c>
    </row>
    <row r="43" customFormat="false" ht="15" hidden="false" customHeight="false" outlineLevel="0" collapsed="false">
      <c r="A43" s="12"/>
      <c r="B43" s="13"/>
      <c r="C43" s="13"/>
      <c r="D43" s="13"/>
      <c r="E43" s="14"/>
      <c r="F43" s="15" t="n">
        <v>0.76</v>
      </c>
      <c r="G43" s="16" t="str">
        <f aca="false">IF(OR(E43="",C43&lt;&gt;"For client (billed)"),"",ROUND(E43*F43,2))</f>
        <v/>
      </c>
    </row>
    <row r="44" customFormat="false" ht="15" hidden="false" customHeight="false" outlineLevel="0" collapsed="false">
      <c r="A44" s="12"/>
      <c r="B44" s="13"/>
      <c r="C44" s="13"/>
      <c r="D44" s="13"/>
      <c r="E44" s="14"/>
      <c r="F44" s="15" t="n">
        <v>0.76</v>
      </c>
      <c r="G44" s="16" t="str">
        <f aca="false">IF(OR(E44="",C44&lt;&gt;"For client (billed)"),"",ROUND(E44*F44,2))</f>
        <v/>
      </c>
    </row>
    <row r="45" customFormat="false" ht="15" hidden="false" customHeight="false" outlineLevel="0" collapsed="false">
      <c r="A45" s="12"/>
      <c r="B45" s="13"/>
      <c r="C45" s="13"/>
      <c r="D45" s="13"/>
      <c r="E45" s="14"/>
      <c r="F45" s="15" t="n">
        <v>0.76</v>
      </c>
      <c r="G45" s="16" t="str">
        <f aca="false">IF(OR(E45="",C45&lt;&gt;"For client (billed)"),"",ROUND(E45*F45,2))</f>
        <v/>
      </c>
    </row>
    <row r="46" customFormat="false" ht="15" hidden="false" customHeight="false" outlineLevel="0" collapsed="false">
      <c r="A46" s="12"/>
      <c r="B46" s="13"/>
      <c r="C46" s="13"/>
      <c r="D46" s="13"/>
      <c r="E46" s="14"/>
      <c r="F46" s="15" t="n">
        <v>0.76</v>
      </c>
      <c r="G46" s="16" t="str">
        <f aca="false">IF(OR(E46="",C46&lt;&gt;"For client (billed)"),"",ROUND(E46*F46,2))</f>
        <v/>
      </c>
    </row>
    <row r="47" customFormat="false" ht="15" hidden="false" customHeight="false" outlineLevel="0" collapsed="false">
      <c r="A47" s="12"/>
      <c r="B47" s="13"/>
      <c r="C47" s="13"/>
      <c r="D47" s="13"/>
      <c r="E47" s="14"/>
      <c r="F47" s="15" t="n">
        <v>0.76</v>
      </c>
      <c r="G47" s="16" t="str">
        <f aca="false">IF(OR(E47="",C47&lt;&gt;"For client (billed)"),"",ROUND(E47*F47,2))</f>
        <v/>
      </c>
    </row>
    <row r="48" customFormat="false" ht="15" hidden="false" customHeight="false" outlineLevel="0" collapsed="false">
      <c r="A48" s="12"/>
      <c r="B48" s="13"/>
      <c r="C48" s="13"/>
      <c r="D48" s="13"/>
      <c r="E48" s="14"/>
      <c r="F48" s="15" t="n">
        <v>0.76</v>
      </c>
      <c r="G48" s="16" t="str">
        <f aca="false">IF(OR(E48="",C48&lt;&gt;"For client (billed)"),"",ROUND(E48*F48,2))</f>
        <v/>
      </c>
    </row>
    <row r="49" customFormat="false" ht="15" hidden="false" customHeight="false" outlineLevel="0" collapsed="false">
      <c r="A49" s="12"/>
      <c r="B49" s="13"/>
      <c r="C49" s="13"/>
      <c r="D49" s="13"/>
      <c r="E49" s="14"/>
      <c r="F49" s="15" t="n">
        <v>0.76</v>
      </c>
      <c r="G49" s="16" t="str">
        <f aca="false">IF(OR(E49="",C49&lt;&gt;"For client (billed)"),"",ROUND(E49*F49,2))</f>
        <v/>
      </c>
    </row>
    <row r="50" customFormat="false" ht="15" hidden="false" customHeight="false" outlineLevel="0" collapsed="false">
      <c r="A50" s="12"/>
      <c r="B50" s="13"/>
      <c r="C50" s="13"/>
      <c r="D50" s="13"/>
      <c r="E50" s="14"/>
      <c r="F50" s="15" t="n">
        <v>0.76</v>
      </c>
      <c r="G50" s="16" t="str">
        <f aca="false">IF(OR(E50="",C50&lt;&gt;"For client (billed)"),"",ROUND(E50*F50,2))</f>
        <v/>
      </c>
    </row>
    <row r="51" customFormat="false" ht="15" hidden="false" customHeight="false" outlineLevel="0" collapsed="false">
      <c r="A51" s="12"/>
      <c r="B51" s="13"/>
      <c r="C51" s="13"/>
      <c r="D51" s="13"/>
      <c r="E51" s="14"/>
      <c r="F51" s="15" t="n">
        <v>0.76</v>
      </c>
      <c r="G51" s="16" t="str">
        <f aca="false">IF(OR(E51="",C51&lt;&gt;"For client (billed)"),"",ROUND(E51*F51,2))</f>
        <v/>
      </c>
    </row>
    <row r="52" customFormat="false" ht="15" hidden="false" customHeight="false" outlineLevel="0" collapsed="false">
      <c r="A52" s="12"/>
      <c r="B52" s="13"/>
      <c r="C52" s="13"/>
      <c r="D52" s="13"/>
      <c r="E52" s="14"/>
      <c r="F52" s="15" t="n">
        <v>0.76</v>
      </c>
      <c r="G52" s="16" t="str">
        <f aca="false">IF(OR(E52="",C52&lt;&gt;"For client (billed)"),"",ROUND(E52*F52,2))</f>
        <v/>
      </c>
    </row>
    <row r="53" customFormat="false" ht="15" hidden="false" customHeight="false" outlineLevel="0" collapsed="false">
      <c r="A53" s="12"/>
      <c r="B53" s="13"/>
      <c r="C53" s="13"/>
      <c r="D53" s="13"/>
      <c r="E53" s="14"/>
      <c r="F53" s="15" t="n">
        <v>0.76</v>
      </c>
      <c r="G53" s="16" t="str">
        <f aca="false">IF(OR(E53="",C53&lt;&gt;"For client (billed)"),"",ROUND(E53*F53,2))</f>
        <v/>
      </c>
    </row>
    <row r="54" customFormat="false" ht="15" hidden="false" customHeight="false" outlineLevel="0" collapsed="false">
      <c r="A54" s="12"/>
      <c r="B54" s="13"/>
      <c r="C54" s="13"/>
      <c r="D54" s="13"/>
      <c r="E54" s="14"/>
      <c r="F54" s="15" t="n">
        <v>0.76</v>
      </c>
      <c r="G54" s="16" t="str">
        <f aca="false">IF(OR(E54="",C54&lt;&gt;"For client (billed)"),"",ROUND(E54*F54,2))</f>
        <v/>
      </c>
    </row>
    <row r="55" customFormat="false" ht="15" hidden="false" customHeight="false" outlineLevel="0" collapsed="false">
      <c r="A55" s="12"/>
      <c r="B55" s="13"/>
      <c r="C55" s="13"/>
      <c r="D55" s="13"/>
      <c r="E55" s="14"/>
      <c r="F55" s="15" t="n">
        <v>0.76</v>
      </c>
      <c r="G55" s="16" t="str">
        <f aca="false">IF(OR(E55="",C55&lt;&gt;"For client (billed)"),"",ROUND(E55*F55,2))</f>
        <v/>
      </c>
    </row>
    <row r="56" customFormat="false" ht="15" hidden="false" customHeight="false" outlineLevel="0" collapsed="false">
      <c r="A56" s="12"/>
      <c r="B56" s="13"/>
      <c r="C56" s="13"/>
      <c r="D56" s="13"/>
      <c r="E56" s="14"/>
      <c r="F56" s="15" t="n">
        <v>0.76</v>
      </c>
      <c r="G56" s="16" t="str">
        <f aca="false">IF(OR(E56="",C56&lt;&gt;"For client (billed)"),"",ROUND(E56*F56,2))</f>
        <v/>
      </c>
    </row>
    <row r="57" customFormat="false" ht="15" hidden="false" customHeight="false" outlineLevel="0" collapsed="false">
      <c r="A57" s="12"/>
      <c r="B57" s="13"/>
      <c r="C57" s="13"/>
      <c r="D57" s="13"/>
      <c r="E57" s="14"/>
      <c r="F57" s="15" t="n">
        <v>0.76</v>
      </c>
      <c r="G57" s="16" t="str">
        <f aca="false">IF(OR(E57="",C57&lt;&gt;"For client (billed)"),"",ROUND(E57*F57,2))</f>
        <v/>
      </c>
    </row>
    <row r="58" customFormat="false" ht="15" hidden="false" customHeight="false" outlineLevel="0" collapsed="false">
      <c r="A58" s="12"/>
      <c r="B58" s="13"/>
      <c r="C58" s="13"/>
      <c r="D58" s="13"/>
      <c r="E58" s="14"/>
      <c r="F58" s="15" t="n">
        <v>0.76</v>
      </c>
      <c r="G58" s="16" t="str">
        <f aca="false">IF(OR(E58="",C58&lt;&gt;"For client (billed)"),"",ROUND(E58*F58,2))</f>
        <v/>
      </c>
    </row>
    <row r="59" customFormat="false" ht="15" hidden="false" customHeight="false" outlineLevel="0" collapsed="false">
      <c r="A59" s="12"/>
      <c r="B59" s="13"/>
      <c r="C59" s="13"/>
      <c r="D59" s="13"/>
      <c r="E59" s="14"/>
      <c r="F59" s="15" t="n">
        <v>0.76</v>
      </c>
      <c r="G59" s="16" t="str">
        <f aca="false">IF(OR(E59="",C59&lt;&gt;"For client (billed)"),"",ROUND(E59*F59,2))</f>
        <v/>
      </c>
    </row>
    <row r="60" customFormat="false" ht="15" hidden="false" customHeight="false" outlineLevel="0" collapsed="false">
      <c r="A60" s="12"/>
      <c r="B60" s="13"/>
      <c r="C60" s="13"/>
      <c r="D60" s="13"/>
      <c r="E60" s="14"/>
      <c r="F60" s="15" t="n">
        <v>0.76</v>
      </c>
      <c r="G60" s="16" t="str">
        <f aca="false">IF(OR(E60="",C60&lt;&gt;"For client (billed)"),"",ROUND(E60*F60,2))</f>
        <v/>
      </c>
    </row>
    <row r="61" customFormat="false" ht="15" hidden="false" customHeight="false" outlineLevel="0" collapsed="false">
      <c r="A61" s="12"/>
      <c r="B61" s="13"/>
      <c r="C61" s="13"/>
      <c r="D61" s="13"/>
      <c r="E61" s="14"/>
      <c r="F61" s="15" t="n">
        <v>0.76</v>
      </c>
      <c r="G61" s="16" t="str">
        <f aca="false">IF(OR(E61="",C61&lt;&gt;"For client (billed)"),"",ROUND(E61*F61,2))</f>
        <v/>
      </c>
    </row>
    <row r="62" customFormat="false" ht="15" hidden="false" customHeight="false" outlineLevel="0" collapsed="false">
      <c r="A62" s="12"/>
      <c r="B62" s="13"/>
      <c r="C62" s="13"/>
      <c r="D62" s="13"/>
      <c r="E62" s="14"/>
      <c r="F62" s="15" t="n">
        <v>0.76</v>
      </c>
      <c r="G62" s="16" t="str">
        <f aca="false">IF(OR(E62="",C62&lt;&gt;"For client (billed)"),"",ROUND(E62*F62,2))</f>
        <v/>
      </c>
    </row>
  </sheetData>
  <dataValidations count="1">
    <dataValidation allowBlank="true" errorStyle="stop" operator="between" showDropDown="false" showErrorMessage="false" showInputMessage="false" sqref="C12:C62" type="list">
      <formula1>"For client (billed),My own drive (not billed)"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2026-10-06T05:51:51Z</dcterms:created>
  <dc:creator>openpyxl</dc:creator>
  <dc:description/>
  <dc:language>en-US</dc:language>
  <cp:lastModifiedBy/>
  <dcterms:modified xsi:type="dcterms:W3CDTF">2026-10-06T05:51:51Z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